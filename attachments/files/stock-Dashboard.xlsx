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folio" sheetId="1" r:id="rId4"/>
    <sheet state="visible" name="Dashboard" sheetId="2" r:id="rId5"/>
  </sheets>
  <definedNames/>
  <calcPr/>
</workbook>
</file>

<file path=xl/sharedStrings.xml><?xml version="1.0" encoding="utf-8"?>
<sst xmlns="http://schemas.openxmlformats.org/spreadsheetml/2006/main" count="16" uniqueCount="16">
  <si>
    <t>Ticker</t>
  </si>
  <si>
    <t>Shares</t>
  </si>
  <si>
    <t>Buy price</t>
  </si>
  <si>
    <t>Live price</t>
  </si>
  <si>
    <t>Market value</t>
  </si>
  <si>
    <t>Gain/Loss</t>
  </si>
  <si>
    <t>AAPL</t>
  </si>
  <si>
    <t>GOOGL</t>
  </si>
  <si>
    <t>MSFT</t>
  </si>
  <si>
    <t>AMZN</t>
  </si>
  <si>
    <t>TLSA</t>
  </si>
  <si>
    <t>Stock market live dashboard</t>
  </si>
  <si>
    <t>Formula</t>
  </si>
  <si>
    <t>Total Market value</t>
  </si>
  <si>
    <t>Total Gain/Loss:</t>
  </si>
  <si>
    <t>Last Updated: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</si>
</sst>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sans-serif"/>
              </a:defRPr>
            </a:pPr>
            <a:r>
              <a:rPr b="1">
                <a:solidFill>
                  <a:srgbClr val="000000"/>
                </a:solidFill>
                <a:latin typeface="sans-serif"/>
              </a:rPr>
              <a:t>Live Stock Prices
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portfolio!$A$2:$A$6</c:f>
            </c:strRef>
          </c:cat>
          <c:val>
            <c:numRef>
              <c:f>portfolio!$B$2:$B$6</c:f>
              <c:numCache/>
            </c:numRef>
          </c:val>
        </c:ser>
        <c:axId val="1303850207"/>
        <c:axId val="877050827"/>
      </c:barChart>
      <c:lineChart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portfolio!$A$2:$A$6</c:f>
            </c:strRef>
          </c:cat>
          <c:val>
            <c:numRef>
              <c:f>portfolio!$C$2:$C$6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portfolio!$A$2:$A$6</c:f>
            </c:strRef>
          </c:cat>
          <c:val>
            <c:numRef>
              <c:f>portfolio!$D$2:$D$6</c:f>
              <c:numCache/>
            </c:numRef>
          </c:val>
          <c:smooth val="0"/>
        </c:ser>
        <c:axId val="1303850207"/>
        <c:axId val="877050827"/>
      </c:lineChart>
      <c:catAx>
        <c:axId val="1303850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FF00FF"/>
                    </a:solidFill>
                    <a:latin typeface="sans-serif"/>
                  </a:defRPr>
                </a:pPr>
                <a:r>
                  <a:rPr b="1">
                    <a:solidFill>
                      <a:srgbClr val="FF00FF"/>
                    </a:solidFill>
                    <a:latin typeface="sans-serif"/>
                  </a:rPr>
                  <a:t>Stock Ticker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ans-serif"/>
              </a:defRPr>
            </a:pPr>
          </a:p>
        </c:txPr>
        <c:crossAx val="877050827"/>
      </c:catAx>
      <c:valAx>
        <c:axId val="8770508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FF00FF"/>
                    </a:solidFill>
                    <a:latin typeface="sans-serif"/>
                  </a:defRPr>
                </a:pPr>
                <a:r>
                  <a:rPr b="1">
                    <a:solidFill>
                      <a:srgbClr val="FF00FF"/>
                    </a:solidFill>
                    <a:latin typeface="sans-serif"/>
                  </a:rPr>
                  <a:t>Price (USD)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ans-serif"/>
              </a:defRPr>
            </a:pPr>
          </a:p>
        </c:txPr>
        <c:crossAx val="13038502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FF00"/>
              </a:solidFill>
              <a:latin typeface="sans-serif"/>
            </a:defRPr>
          </a:pPr>
        </a:p>
      </c:txPr>
    </c:legend>
    <c:plotVisOnly val="1"/>
  </c:chart>
  <c:spPr>
    <a:solidFill>
      <a:srgbClr val="93C47D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sans-serif"/>
              </a:defRPr>
            </a:pPr>
            <a:r>
              <a:rPr b="1">
                <a:solidFill>
                  <a:srgbClr val="000000"/>
                </a:solidFill>
                <a:latin typeface="sans-serif"/>
              </a:rPr>
              <a:t>Portfolio Allocation by Market Value
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portfolio!$A$2:$A$6</c:f>
            </c:strRef>
          </c:cat>
          <c:val>
            <c:numRef>
              <c:f>portfolio!$E$2:$E$6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ans-serif"/>
            </a:defRPr>
          </a:pPr>
        </a:p>
      </c:txPr>
    </c:legend>
    <c:plotVisOnly val="1"/>
  </c:chart>
  <c:spPr>
    <a:solidFill>
      <a:srgbClr val="CCCCCC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161925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571500</xdr:colOff>
      <xdr:row>8</xdr:row>
      <xdr:rowOff>161925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10.0</v>
      </c>
      <c r="C2" s="1">
        <v>150.0</v>
      </c>
      <c r="D2" s="2">
        <f>IFERROR(__xludf.DUMMYFUNCTION("GOOGLEFINANCE(A2,""price"")"),267.46)</f>
        <v>267.46</v>
      </c>
      <c r="E2" s="2">
        <f t="shared" ref="E2:E6" si="1">B2*D2</f>
        <v>2674.6</v>
      </c>
      <c r="F2" s="2">
        <f t="shared" ref="F2:F6" si="2">(D2-C2)*B2</f>
        <v>1174.6</v>
      </c>
    </row>
    <row r="3">
      <c r="A3" s="1" t="s">
        <v>7</v>
      </c>
      <c r="B3" s="1">
        <v>5.0</v>
      </c>
      <c r="C3" s="1">
        <v>120.0</v>
      </c>
      <c r="D3" s="2">
        <f>IFERROR(__xludf.DUMMYFUNCTION("GOOGLEFINANCE(A3,""price"")"),285.02)</f>
        <v>285.02</v>
      </c>
      <c r="E3" s="2">
        <f t="shared" si="1"/>
        <v>1425.1</v>
      </c>
      <c r="F3" s="2">
        <f t="shared" si="2"/>
        <v>825.1</v>
      </c>
    </row>
    <row r="4">
      <c r="A4" s="1" t="s">
        <v>8</v>
      </c>
      <c r="B4" s="1">
        <v>8.0</v>
      </c>
      <c r="C4" s="1">
        <v>300.0</v>
      </c>
      <c r="D4" s="2">
        <f>IFERROR(__xludf.DUMMYFUNCTION("GOOGLEFINANCE(A4,""price"")"),507.49)</f>
        <v>507.49</v>
      </c>
      <c r="E4" s="2">
        <f t="shared" si="1"/>
        <v>4059.92</v>
      </c>
      <c r="F4" s="2">
        <f t="shared" si="2"/>
        <v>1659.92</v>
      </c>
    </row>
    <row r="5">
      <c r="A5" s="1" t="s">
        <v>9</v>
      </c>
      <c r="B5" s="1">
        <v>12.0</v>
      </c>
      <c r="C5" s="1">
        <v>100.0</v>
      </c>
      <c r="D5" s="2">
        <f>IFERROR(__xludf.DUMMYFUNCTION("GOOGLEFINANCE(A5,""price"")"),232.87)</f>
        <v>232.87</v>
      </c>
      <c r="E5" s="2">
        <f t="shared" si="1"/>
        <v>2794.44</v>
      </c>
      <c r="F5" s="2">
        <f t="shared" si="2"/>
        <v>1594.44</v>
      </c>
    </row>
    <row r="6">
      <c r="A6" s="1" t="s">
        <v>10</v>
      </c>
      <c r="B6" s="1">
        <v>6.0</v>
      </c>
      <c r="C6" s="1">
        <v>200.0</v>
      </c>
      <c r="D6" s="2">
        <f>IFERROR(__xludf.DUMMYFUNCTION("GOOGLEFINANCE(A6,""price"")"),1.69)</f>
        <v>1.69</v>
      </c>
      <c r="E6" s="2">
        <f t="shared" si="1"/>
        <v>10.14</v>
      </c>
      <c r="F6" s="2">
        <f t="shared" si="2"/>
        <v>-1189.86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30.0"/>
  </cols>
  <sheetData>
    <row r="1">
      <c r="A1" s="3" t="s">
        <v>11</v>
      </c>
      <c r="B1" s="4" t="s">
        <v>12</v>
      </c>
    </row>
    <row r="2">
      <c r="A2" s="1"/>
    </row>
    <row r="3">
      <c r="A3" s="1" t="s">
        <v>13</v>
      </c>
      <c r="B3" s="2">
        <f>SUM(portfolio!E2:E6)</f>
        <v>10964.2</v>
      </c>
    </row>
    <row r="5">
      <c r="A5" s="1" t="s">
        <v>14</v>
      </c>
      <c r="B5" s="2">
        <f>SUM(portfolio!F2:F6)</f>
        <v>4064.2</v>
      </c>
    </row>
    <row r="7">
      <c r="A7" s="1" t="s">
        <v>15</v>
      </c>
      <c r="B7" s="5">
        <f>NOW()</f>
        <v>45979.55615</v>
      </c>
    </row>
  </sheetData>
  <drawing r:id="rId1"/>
</worksheet>
</file>